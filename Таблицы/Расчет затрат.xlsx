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Олег\Desktop\Экономика\Таблицы\"/>
    </mc:Choice>
  </mc:AlternateContent>
  <bookViews>
    <workbookView xWindow="0" yWindow="0" windowWidth="21600" windowHeight="9630" activeTab="2"/>
  </bookViews>
  <sheets>
    <sheet name="материальные затр." sheetId="1" r:id="rId1"/>
    <sheet name="Амортизация" sheetId="3" r:id="rId2"/>
    <sheet name="затраты на зп" sheetId="2" r:id="rId3"/>
    <sheet name="Лист 1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3" i="2" l="1"/>
  <c r="G80" i="3"/>
  <c r="G79" i="3"/>
  <c r="G78" i="3"/>
  <c r="G77" i="3"/>
  <c r="G76" i="3"/>
  <c r="G81" i="3" s="1"/>
  <c r="G73" i="3"/>
  <c r="G72" i="3"/>
  <c r="G71" i="3"/>
  <c r="G70" i="3"/>
  <c r="G69" i="3"/>
  <c r="G74" i="3" s="1"/>
  <c r="G66" i="3" l="1"/>
  <c r="G65" i="3"/>
  <c r="G64" i="3"/>
  <c r="G63" i="3"/>
  <c r="G62" i="3"/>
  <c r="G67" i="3" s="1"/>
  <c r="G59" i="3"/>
  <c r="G58" i="3"/>
  <c r="G57" i="3"/>
  <c r="G56" i="3"/>
  <c r="G55" i="3"/>
  <c r="G52" i="3"/>
  <c r="G51" i="3"/>
  <c r="G50" i="3"/>
  <c r="G49" i="3"/>
  <c r="G48" i="3"/>
  <c r="G45" i="3"/>
  <c r="G44" i="3"/>
  <c r="G43" i="3"/>
  <c r="G42" i="3"/>
  <c r="G41" i="3"/>
  <c r="G46" i="3" l="1"/>
  <c r="G53" i="3"/>
  <c r="G60" i="3"/>
  <c r="G7" i="3"/>
  <c r="G8" i="3"/>
  <c r="G9" i="3"/>
  <c r="G10" i="3"/>
  <c r="G11" i="3"/>
  <c r="G12" i="3"/>
  <c r="G13" i="3"/>
  <c r="G14" i="3"/>
  <c r="G6" i="3"/>
  <c r="F6" i="3"/>
  <c r="F7" i="3"/>
  <c r="F14" i="3"/>
  <c r="G24" i="3" l="1"/>
  <c r="G38" i="3"/>
  <c r="G37" i="3"/>
  <c r="G36" i="3"/>
  <c r="G35" i="3"/>
  <c r="G34" i="3"/>
  <c r="G31" i="3"/>
  <c r="G30" i="3"/>
  <c r="G29" i="3"/>
  <c r="G28" i="3"/>
  <c r="G27" i="3"/>
  <c r="G23" i="3"/>
  <c r="G22" i="3"/>
  <c r="G21" i="3"/>
  <c r="G20" i="3"/>
  <c r="D32" i="2"/>
  <c r="D30" i="2"/>
  <c r="D31" i="2"/>
  <c r="F16" i="2"/>
  <c r="C24" i="2" s="1"/>
  <c r="D24" i="2" s="1"/>
  <c r="E24" i="2" s="1"/>
  <c r="F24" i="2" s="1"/>
  <c r="F15" i="2"/>
  <c r="C23" i="2" s="1"/>
  <c r="D23" i="2" s="1"/>
  <c r="F23" i="2" s="1"/>
  <c r="E27" i="1"/>
  <c r="E28" i="1"/>
  <c r="E29" i="1"/>
  <c r="D21" i="1"/>
  <c r="D22" i="1"/>
  <c r="D20" i="1"/>
  <c r="D15" i="1"/>
  <c r="G39" i="3" l="1"/>
  <c r="G25" i="3"/>
  <c r="G32" i="3"/>
  <c r="G15" i="3"/>
  <c r="D33" i="2"/>
  <c r="D23" i="1"/>
  <c r="B38" i="1" s="1"/>
  <c r="F25" i="2"/>
  <c r="E30" i="1"/>
</calcChain>
</file>

<file path=xl/sharedStrings.xml><?xml version="1.0" encoding="utf-8"?>
<sst xmlns="http://schemas.openxmlformats.org/spreadsheetml/2006/main" count="163" uniqueCount="92">
  <si>
    <t>Расчет материальных затрат на реализацию проекта</t>
  </si>
  <si>
    <t>В процессе реализации работ  по проекту расходуются следующие виды материальных ресурсов:
•	Покупные комплектующие изделия и полуфабрикаты;
•	Электроэнергия на технологические цели;
•	Износ инструмента, приспособлений и инвентаря</t>
  </si>
  <si>
    <t>Расчет затрат на покупные комплектующие изделия и полуфабрикаты</t>
  </si>
  <si>
    <t>Вид комплектующего изделия</t>
  </si>
  <si>
    <t>Размер затрат</t>
  </si>
  <si>
    <t>Конденсаторные установки УКБН-0,38-100-50УЗ</t>
  </si>
  <si>
    <t>ИТОГО</t>
  </si>
  <si>
    <t>Расчет затрат на износ инструмента, приспособлений, инвентаря</t>
  </si>
  <si>
    <t>Вид инструмента, приспособления, инвентаря</t>
  </si>
  <si>
    <t>Диски для болгарки</t>
  </si>
  <si>
    <t>Сверла</t>
  </si>
  <si>
    <t>Саморезы</t>
  </si>
  <si>
    <t>Количество шт</t>
  </si>
  <si>
    <t>Цена, руб.</t>
  </si>
  <si>
    <t xml:space="preserve">Размер затрат, руб. </t>
  </si>
  <si>
    <t>Цена, руб/шт.</t>
  </si>
  <si>
    <t>Расчет затрат на  электроэнергию на технологические цели</t>
  </si>
  <si>
    <t>Источник потребления</t>
  </si>
  <si>
    <t>Цена, руб./кВт.</t>
  </si>
  <si>
    <t>Болгарка</t>
  </si>
  <si>
    <t>1,8 кВт</t>
  </si>
  <si>
    <t>Перфоратор</t>
  </si>
  <si>
    <t>550 Вт</t>
  </si>
  <si>
    <t>Шуруповерт</t>
  </si>
  <si>
    <t>12 Вт</t>
  </si>
  <si>
    <t>Величина затрат, руб.</t>
  </si>
  <si>
    <t>Потребляемая мощность в час, кВт</t>
  </si>
  <si>
    <t>Потребляемая мощность на весь объем работ, кВт</t>
  </si>
  <si>
    <t>Расчет потребляемой мощности электроэнергии</t>
  </si>
  <si>
    <t>Вид прибора</t>
  </si>
  <si>
    <t>Потребляемая мощность, кВт/час</t>
  </si>
  <si>
    <t>Время работы в сутки, час.</t>
  </si>
  <si>
    <t>Количество рабочих дней</t>
  </si>
  <si>
    <t>Количество приборов</t>
  </si>
  <si>
    <t>Итого материальных затрат</t>
  </si>
  <si>
    <t>Расчет затрат на оплату труда</t>
  </si>
  <si>
    <t>Объем работ по проекту будет осуществлять бригада электромонтажников в составе 5 человек, из которых три рабочих 3 разряда, два рабочих 4 разряда. Для начисления заработной платы применяется повременно-премиальная система оплаты труда. Работу планируется выполнить за 7  рабочих дня. За 	качественное выполнение работ в установленный срок бригаде выплачивается премия в размере 30 % от основной заработной платы.</t>
  </si>
  <si>
    <t>Расчет основной заработной платы</t>
  </si>
  <si>
    <t>Должность</t>
  </si>
  <si>
    <t>Часовая тарифная ставка, руб.</t>
  </si>
  <si>
    <t>Продолжительность смены, час.</t>
  </si>
  <si>
    <t>Количество смен</t>
  </si>
  <si>
    <t>Размер оплаты труда, руб.</t>
  </si>
  <si>
    <t>Электромонтажник 3 разряда</t>
  </si>
  <si>
    <t>Электромонтажник 4 разряда</t>
  </si>
  <si>
    <t>Расчет затрат по оплате труда</t>
  </si>
  <si>
    <t>Разряд</t>
  </si>
  <si>
    <t>Оплата труда, руб.</t>
  </si>
  <si>
    <t>Премия, руб.(30%)</t>
  </si>
  <si>
    <t>Всего заработная плата, руб.</t>
  </si>
  <si>
    <t>Кол-во работников</t>
  </si>
  <si>
    <t xml:space="preserve">Срок выполнения работ по объекту </t>
  </si>
  <si>
    <t>Расчет отчислений на социальные нужды</t>
  </si>
  <si>
    <t>Наименование отчислений</t>
  </si>
  <si>
    <t>Фонд оплаты труда, руб.</t>
  </si>
  <si>
    <t>Размер отчислений, руб.</t>
  </si>
  <si>
    <t>Пенсионный фонд</t>
  </si>
  <si>
    <t>Фонд обязательного медицинского страхования</t>
  </si>
  <si>
    <t>Фонд социального страхования</t>
  </si>
  <si>
    <t>Ставка, %</t>
  </si>
  <si>
    <t>Внести свои данные</t>
  </si>
  <si>
    <t>Сделать расчет амортизации оборудования</t>
  </si>
  <si>
    <t>Вид основного средства</t>
  </si>
  <si>
    <t>Первоначальная стоимость, руб.</t>
  </si>
  <si>
    <t>Количество</t>
  </si>
  <si>
    <t>Срок полезного использования, лет</t>
  </si>
  <si>
    <t>Размер амортизации, руб.</t>
  </si>
  <si>
    <t>Норма амортизации%</t>
  </si>
  <si>
    <t>https://praktibuh.ru/kalkulyatory/raschet-amortizatsii-linejnym-sposobom.html</t>
  </si>
  <si>
    <t>для онлайн расчета</t>
  </si>
  <si>
    <t>Вычисляем сколько это процентов от первоначальной стоимости</t>
  </si>
  <si>
    <t>Порядок расчета линейным способом:</t>
  </si>
  <si>
    <t>(Норма амортизации = 1/срок гарантийного использования) * 100%</t>
  </si>
  <si>
    <t>(Число лет, остающихся до конца срока службы объекта / Сумму чисел срока объекта) * Первоначальную стоимость</t>
  </si>
  <si>
    <t>Порядок расчета при списании стоимости по сумме чисел лет срока полезного использования</t>
  </si>
  <si>
    <t>Сумма чисел лет полезного использования</t>
  </si>
  <si>
    <t>1 год:</t>
  </si>
  <si>
    <t>2 год:</t>
  </si>
  <si>
    <t>3 год</t>
  </si>
  <si>
    <t>4 год</t>
  </si>
  <si>
    <t>5 год</t>
  </si>
  <si>
    <t>3 год:</t>
  </si>
  <si>
    <t>4 год:</t>
  </si>
  <si>
    <t>5 год:</t>
  </si>
  <si>
    <t>Набор диэелектрических инструментов</t>
  </si>
  <si>
    <t>Инструсмент для затяжки бандажных лент</t>
  </si>
  <si>
    <t>Мегаомметр</t>
  </si>
  <si>
    <t>Измеритель сопротивления изоляции до 5000В</t>
  </si>
  <si>
    <t>Токовые клещи</t>
  </si>
  <si>
    <t>Гидравлический ручной пресс</t>
  </si>
  <si>
    <t>Набор ключей и торцевых головок</t>
  </si>
  <si>
    <t>Ручная лебедка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</si>
</sst>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7">
    <xf numFmtId="0" fontId="0" fillId="0" borderId="0" xfId="0"/>
    <xf numFmtId="0" fontId="0" fillId="3" borderId="0" xfId="0" applyFill="1" applyAlignment="1"/>
    <xf numFmtId="0" fontId="2" fillId="0" borderId="1" xfId="0" applyFont="1" applyBorder="1" applyAlignment="1">
      <alignment vertical="center" wrapText="1"/>
    </xf>
    <xf numFmtId="0" fontId="0" fillId="4" borderId="1" xfId="0" applyFill="1" applyBorder="1"/>
    <xf numFmtId="0" fontId="3" fillId="0" borderId="1" xfId="0" applyFont="1" applyBorder="1" applyAlignment="1">
      <alignment vertical="center" wrapText="1"/>
    </xf>
    <xf numFmtId="0" fontId="3" fillId="4" borderId="0" xfId="0" applyFont="1" applyFill="1" applyBorder="1" applyAlignment="1">
      <alignment vertical="center" wrapText="1"/>
    </xf>
    <xf numFmtId="0" fontId="1" fillId="4" borderId="0" xfId="0" applyFont="1" applyFill="1"/>
    <xf numFmtId="0" fontId="2" fillId="6" borderId="1" xfId="0" applyFont="1" applyFill="1" applyBorder="1" applyAlignment="1">
      <alignment vertical="center" wrapText="1"/>
    </xf>
    <xf numFmtId="0" fontId="2" fillId="0" borderId="1" xfId="0" applyNumberFormat="1" applyFont="1" applyBorder="1" applyAlignment="1">
      <alignment vertical="center" wrapText="1"/>
    </xf>
    <xf numFmtId="2" fontId="3" fillId="0" borderId="1" xfId="0" applyNumberFormat="1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3" fillId="0" borderId="5" xfId="0" applyNumberFormat="1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2" fillId="0" borderId="0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 wrapText="1"/>
    </xf>
    <xf numFmtId="0" fontId="3" fillId="2" borderId="5" xfId="0" applyNumberFormat="1" applyFont="1" applyFill="1" applyBorder="1" applyAlignment="1">
      <alignment vertical="center" wrapText="1"/>
    </xf>
    <xf numFmtId="0" fontId="3" fillId="2" borderId="5" xfId="0" applyFont="1" applyFill="1" applyBorder="1" applyAlignment="1">
      <alignment vertical="center" wrapText="1"/>
    </xf>
    <xf numFmtId="0" fontId="2" fillId="0" borderId="5" xfId="0" applyNumberFormat="1" applyFont="1" applyBorder="1" applyAlignment="1">
      <alignment vertical="center" wrapText="1"/>
    </xf>
    <xf numFmtId="1" fontId="3" fillId="0" borderId="5" xfId="0" applyNumberFormat="1" applyFont="1" applyBorder="1" applyAlignment="1">
      <alignment vertical="center" wrapText="1"/>
    </xf>
    <xf numFmtId="0" fontId="2" fillId="3" borderId="5" xfId="0" applyFont="1" applyFill="1" applyBorder="1" applyAlignment="1">
      <alignment vertical="center" wrapText="1"/>
    </xf>
    <xf numFmtId="1" fontId="3" fillId="2" borderId="5" xfId="0" applyNumberFormat="1" applyFont="1" applyFill="1" applyBorder="1" applyAlignment="1">
      <alignment vertical="center" wrapText="1"/>
    </xf>
    <xf numFmtId="1" fontId="3" fillId="8" borderId="5" xfId="0" applyNumberFormat="1" applyFont="1" applyFill="1" applyBorder="1" applyAlignment="1">
      <alignment vertical="center" wrapText="1"/>
    </xf>
    <xf numFmtId="0" fontId="3" fillId="8" borderId="5" xfId="0" applyFont="1" applyFill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8" borderId="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3" borderId="5" xfId="0" applyFont="1" applyFill="1" applyBorder="1" applyAlignment="1">
      <alignment vertical="center" wrapText="1"/>
    </xf>
    <xf numFmtId="0" fontId="0" fillId="4" borderId="1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0" fillId="7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0" fillId="6" borderId="0" xfId="0" applyFill="1" applyAlignment="1">
      <alignment horizontal="center"/>
    </xf>
    <xf numFmtId="0" fontId="4" fillId="0" borderId="0" xfId="1" applyAlignment="1">
      <alignment horizontal="center" wrapText="1"/>
    </xf>
    <xf numFmtId="0" fontId="0" fillId="0" borderId="0" xfId="0" applyAlignment="1">
      <alignment horizontal="center" wrapText="1"/>
    </xf>
    <xf numFmtId="0" fontId="0" fillId="5" borderId="0" xfId="0" applyFill="1" applyAlignment="1">
      <alignment horizontal="center"/>
    </xf>
    <xf numFmtId="0" fontId="2" fillId="0" borderId="1" xfId="0" applyFont="1" applyBorder="1" applyAlignment="1">
      <alignment vertical="center" wrapText="1"/>
    </xf>
    <xf numFmtId="0" fontId="0" fillId="0" borderId="0" xfId="0" applyAlignment="1">
      <alignment horizontal="center"/>
    </xf>
    <xf numFmtId="0" fontId="2" fillId="0" borderId="5" xfId="0" applyFont="1" applyFill="1" applyBorder="1" applyAlignment="1">
      <alignment vertical="center" wrapText="1"/>
    </xf>
    <xf numFmtId="0" fontId="2" fillId="8" borderId="5" xfId="0" applyFont="1" applyFill="1" applyBorder="1" applyAlignment="1">
      <alignment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praktibuh.ru/kalkulyatory/raschet-amortizatsii-linejnym-sposobom.html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38"/>
  <sheetViews>
    <sheetView topLeftCell="A25" workbookViewId="0">
      <selection activeCell="C38" sqref="C38"/>
    </sheetView>
  </sheetViews>
  <sheetFormatPr defaultRowHeight="15" x14ac:dyDescent="0.25"/>
  <cols>
    <col min="1" max="1" width="22.85546875" customWidth="1"/>
    <col min="2" max="2" width="16.28515625" customWidth="1"/>
    <col min="3" max="3" width="13.42578125" customWidth="1"/>
    <col min="4" max="4" width="20" customWidth="1"/>
    <col min="5" max="5" width="12.42578125" customWidth="1"/>
  </cols>
  <sheetData>
    <row r="2" spans="1:8" x14ac:dyDescent="0.25">
      <c r="A2" s="33" t="s">
        <v>0</v>
      </c>
      <c r="B2" s="33"/>
      <c r="C2" s="33"/>
      <c r="D2" s="33"/>
      <c r="E2" s="33"/>
      <c r="F2" s="33"/>
      <c r="G2" s="33"/>
      <c r="H2" s="33"/>
    </row>
    <row r="4" spans="1:8" x14ac:dyDescent="0.25">
      <c r="A4" s="34" t="s">
        <v>1</v>
      </c>
      <c r="B4" s="35"/>
      <c r="C4" s="35"/>
      <c r="D4" s="35"/>
      <c r="E4" s="35"/>
      <c r="F4" s="35"/>
      <c r="G4" s="35"/>
      <c r="H4" s="35"/>
    </row>
    <row r="5" spans="1:8" x14ac:dyDescent="0.25">
      <c r="A5" s="35"/>
      <c r="B5" s="35"/>
      <c r="C5" s="35"/>
      <c r="D5" s="35"/>
      <c r="E5" s="35"/>
      <c r="F5" s="35"/>
      <c r="G5" s="35"/>
      <c r="H5" s="35"/>
    </row>
    <row r="6" spans="1:8" x14ac:dyDescent="0.25">
      <c r="A6" s="35"/>
      <c r="B6" s="35"/>
      <c r="C6" s="35"/>
      <c r="D6" s="35"/>
      <c r="E6" s="35"/>
      <c r="F6" s="35"/>
      <c r="G6" s="35"/>
      <c r="H6" s="35"/>
    </row>
    <row r="7" spans="1:8" x14ac:dyDescent="0.25">
      <c r="A7" s="35"/>
      <c r="B7" s="35"/>
      <c r="C7" s="35"/>
      <c r="D7" s="35"/>
      <c r="E7" s="35"/>
      <c r="F7" s="35"/>
      <c r="G7" s="35"/>
      <c r="H7" s="35"/>
    </row>
    <row r="8" spans="1:8" x14ac:dyDescent="0.25">
      <c r="A8" s="35"/>
      <c r="B8" s="35"/>
      <c r="C8" s="35"/>
      <c r="D8" s="35"/>
      <c r="E8" s="35"/>
      <c r="F8" s="35"/>
      <c r="G8" s="35"/>
      <c r="H8" s="35"/>
    </row>
    <row r="9" spans="1:8" x14ac:dyDescent="0.25">
      <c r="A9" s="35"/>
      <c r="B9" s="35"/>
      <c r="C9" s="35"/>
      <c r="D9" s="35"/>
      <c r="E9" s="35"/>
      <c r="F9" s="35"/>
      <c r="G9" s="35"/>
      <c r="H9" s="35"/>
    </row>
    <row r="10" spans="1:8" ht="0.75" customHeight="1" x14ac:dyDescent="0.25">
      <c r="A10" s="35"/>
      <c r="B10" s="35"/>
      <c r="C10" s="35"/>
      <c r="D10" s="35"/>
      <c r="E10" s="35"/>
      <c r="F10" s="35"/>
      <c r="G10" s="35"/>
      <c r="H10" s="35"/>
    </row>
    <row r="12" spans="1:8" x14ac:dyDescent="0.25">
      <c r="A12" s="31" t="s">
        <v>2</v>
      </c>
      <c r="B12" s="31"/>
      <c r="C12" s="31"/>
      <c r="D12" s="31"/>
      <c r="E12" s="1"/>
      <c r="F12" s="1"/>
      <c r="G12" s="1"/>
      <c r="H12" s="1"/>
    </row>
    <row r="13" spans="1:8" x14ac:dyDescent="0.25">
      <c r="A13" s="31"/>
      <c r="B13" s="31"/>
      <c r="C13" s="31"/>
      <c r="D13" s="31"/>
    </row>
    <row r="14" spans="1:8" ht="30" x14ac:dyDescent="0.25">
      <c r="A14" s="2" t="s">
        <v>3</v>
      </c>
      <c r="B14" s="2" t="s">
        <v>12</v>
      </c>
      <c r="C14" s="2" t="s">
        <v>13</v>
      </c>
      <c r="D14" s="2" t="s">
        <v>4</v>
      </c>
    </row>
    <row r="15" spans="1:8" ht="45" x14ac:dyDescent="0.25">
      <c r="A15" s="2" t="s">
        <v>5</v>
      </c>
      <c r="B15" s="2">
        <v>2</v>
      </c>
      <c r="C15" s="2">
        <v>43500</v>
      </c>
      <c r="D15" s="2">
        <f>C15*B15</f>
        <v>87000</v>
      </c>
    </row>
    <row r="16" spans="1:8" x14ac:dyDescent="0.25">
      <c r="A16" s="2" t="s">
        <v>6</v>
      </c>
      <c r="B16" s="2"/>
      <c r="C16" s="2"/>
      <c r="D16" s="2">
        <v>87000</v>
      </c>
    </row>
    <row r="18" spans="1:5" x14ac:dyDescent="0.25">
      <c r="A18" s="31" t="s">
        <v>7</v>
      </c>
      <c r="B18" s="31"/>
      <c r="C18" s="31"/>
      <c r="D18" s="31"/>
    </row>
    <row r="19" spans="1:5" ht="45" x14ac:dyDescent="0.25">
      <c r="A19" s="2" t="s">
        <v>8</v>
      </c>
      <c r="B19" s="2" t="s">
        <v>12</v>
      </c>
      <c r="C19" s="2" t="s">
        <v>15</v>
      </c>
      <c r="D19" s="2" t="s">
        <v>14</v>
      </c>
    </row>
    <row r="20" spans="1:5" x14ac:dyDescent="0.25">
      <c r="A20" s="2" t="s">
        <v>9</v>
      </c>
      <c r="B20" s="2">
        <v>10</v>
      </c>
      <c r="C20" s="2">
        <v>30</v>
      </c>
      <c r="D20" s="4">
        <f>B20*C20</f>
        <v>300</v>
      </c>
    </row>
    <row r="21" spans="1:5" x14ac:dyDescent="0.25">
      <c r="A21" s="2" t="s">
        <v>10</v>
      </c>
      <c r="B21" s="2">
        <v>20</v>
      </c>
      <c r="C21" s="2">
        <v>45</v>
      </c>
      <c r="D21" s="4">
        <f t="shared" ref="D21:D22" si="0">B21*C21</f>
        <v>900</v>
      </c>
    </row>
    <row r="22" spans="1:5" x14ac:dyDescent="0.25">
      <c r="A22" s="2" t="s">
        <v>11</v>
      </c>
      <c r="B22" s="2">
        <v>1000</v>
      </c>
      <c r="C22" s="2">
        <v>2</v>
      </c>
      <c r="D22" s="4">
        <f t="shared" si="0"/>
        <v>2000</v>
      </c>
    </row>
    <row r="23" spans="1:5" x14ac:dyDescent="0.25">
      <c r="A23" s="2" t="s">
        <v>6</v>
      </c>
      <c r="B23" s="2"/>
      <c r="C23" s="2"/>
      <c r="D23" s="4">
        <f>D20+D21+D22</f>
        <v>3200</v>
      </c>
    </row>
    <row r="25" spans="1:5" x14ac:dyDescent="0.25">
      <c r="A25" s="31" t="s">
        <v>16</v>
      </c>
      <c r="B25" s="31"/>
      <c r="C25" s="31"/>
      <c r="D25" s="31"/>
      <c r="E25" s="3"/>
    </row>
    <row r="26" spans="1:5" ht="75" x14ac:dyDescent="0.25">
      <c r="A26" s="2" t="s">
        <v>17</v>
      </c>
      <c r="B26" s="2" t="s">
        <v>26</v>
      </c>
      <c r="C26" s="2" t="s">
        <v>27</v>
      </c>
      <c r="D26" s="2" t="s">
        <v>18</v>
      </c>
      <c r="E26" s="2" t="s">
        <v>25</v>
      </c>
    </row>
    <row r="27" spans="1:5" x14ac:dyDescent="0.25">
      <c r="A27" s="2" t="s">
        <v>19</v>
      </c>
      <c r="B27" s="2" t="s">
        <v>20</v>
      </c>
      <c r="C27" s="2">
        <v>316.8</v>
      </c>
      <c r="D27" s="2">
        <v>2.17</v>
      </c>
      <c r="E27" s="4">
        <f>C27*D27</f>
        <v>687.45600000000002</v>
      </c>
    </row>
    <row r="28" spans="1:5" x14ac:dyDescent="0.25">
      <c r="A28" s="2" t="s">
        <v>21</v>
      </c>
      <c r="B28" s="2" t="s">
        <v>22</v>
      </c>
      <c r="C28" s="2">
        <v>242</v>
      </c>
      <c r="D28" s="2">
        <v>2.17</v>
      </c>
      <c r="E28" s="4">
        <f>C28*D28</f>
        <v>525.14</v>
      </c>
    </row>
    <row r="29" spans="1:5" x14ac:dyDescent="0.25">
      <c r="A29" s="2" t="s">
        <v>23</v>
      </c>
      <c r="B29" s="2" t="s">
        <v>24</v>
      </c>
      <c r="C29" s="2">
        <v>59.2</v>
      </c>
      <c r="D29" s="2">
        <v>2.17</v>
      </c>
      <c r="E29" s="4">
        <f>C29*D29</f>
        <v>128.464</v>
      </c>
    </row>
    <row r="30" spans="1:5" x14ac:dyDescent="0.25">
      <c r="A30" s="2" t="s">
        <v>6</v>
      </c>
      <c r="B30" s="2"/>
      <c r="C30" s="2"/>
      <c r="D30" s="2"/>
      <c r="E30" s="4">
        <f>E27+E28+E29</f>
        <v>1341.06</v>
      </c>
    </row>
    <row r="32" spans="1:5" x14ac:dyDescent="0.25">
      <c r="A32" s="32" t="s">
        <v>28</v>
      </c>
      <c r="B32" s="32"/>
      <c r="C32" s="32"/>
      <c r="D32" s="32"/>
      <c r="E32" s="32"/>
    </row>
    <row r="33" spans="1:5" ht="45" x14ac:dyDescent="0.25">
      <c r="A33" s="2" t="s">
        <v>29</v>
      </c>
      <c r="B33" s="2" t="s">
        <v>30</v>
      </c>
      <c r="C33" s="2" t="s">
        <v>31</v>
      </c>
      <c r="D33" s="2" t="s">
        <v>32</v>
      </c>
      <c r="E33" s="2" t="s">
        <v>33</v>
      </c>
    </row>
    <row r="34" spans="1:5" x14ac:dyDescent="0.25">
      <c r="A34" s="2" t="s">
        <v>19</v>
      </c>
      <c r="B34" s="2">
        <v>1.8</v>
      </c>
      <c r="C34" s="2">
        <v>4</v>
      </c>
      <c r="D34" s="2">
        <v>22</v>
      </c>
      <c r="E34" s="2">
        <v>2</v>
      </c>
    </row>
    <row r="35" spans="1:5" x14ac:dyDescent="0.25">
      <c r="A35" s="2" t="s">
        <v>21</v>
      </c>
      <c r="B35" s="2">
        <v>0.55000000000000004</v>
      </c>
      <c r="C35" s="2">
        <v>5</v>
      </c>
      <c r="D35" s="2">
        <v>22</v>
      </c>
      <c r="E35" s="2">
        <v>4</v>
      </c>
    </row>
    <row r="36" spans="1:5" x14ac:dyDescent="0.25">
      <c r="A36" s="2" t="s">
        <v>23</v>
      </c>
      <c r="B36" s="2">
        <v>1.2E-2</v>
      </c>
      <c r="C36" s="2">
        <v>8</v>
      </c>
      <c r="D36" s="2">
        <v>22</v>
      </c>
      <c r="E36" s="2">
        <v>6</v>
      </c>
    </row>
    <row r="38" spans="1:5" ht="28.5" x14ac:dyDescent="0.25">
      <c r="A38" s="5" t="s">
        <v>34</v>
      </c>
      <c r="B38" s="6">
        <f>D16+D23</f>
        <v>90200</v>
      </c>
    </row>
  </sheetData>
  <mergeCells count="6">
    <mergeCell ref="A25:D25"/>
    <mergeCell ref="A32:E32"/>
    <mergeCell ref="A2:H2"/>
    <mergeCell ref="A4:H10"/>
    <mergeCell ref="A12:D13"/>
    <mergeCell ref="A18:D18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81"/>
  <sheetViews>
    <sheetView topLeftCell="A6" zoomScaleNormal="100" workbookViewId="0">
      <selection activeCell="I10" sqref="I10:L11"/>
    </sheetView>
  </sheetViews>
  <sheetFormatPr defaultRowHeight="15" x14ac:dyDescent="0.25"/>
  <cols>
    <col min="2" max="2" width="25" style="29" customWidth="1"/>
    <col min="3" max="3" width="16.140625" customWidth="1"/>
    <col min="4" max="4" width="13.5703125" customWidth="1"/>
    <col min="5" max="5" width="11.140625" customWidth="1"/>
    <col min="6" max="6" width="10.42578125" customWidth="1"/>
    <col min="7" max="7" width="12.5703125" customWidth="1"/>
    <col min="15" max="15" width="12.28515625" customWidth="1"/>
  </cols>
  <sheetData>
    <row r="2" spans="2:15" x14ac:dyDescent="0.25">
      <c r="B2" s="39" t="s">
        <v>61</v>
      </c>
      <c r="C2" s="39"/>
      <c r="D2" s="39"/>
      <c r="E2" s="39"/>
      <c r="F2" s="39"/>
      <c r="G2" s="39"/>
    </row>
    <row r="4" spans="2:15" ht="15.75" thickBot="1" x14ac:dyDescent="0.3"/>
    <row r="5" spans="2:15" ht="60.75" thickBot="1" x14ac:dyDescent="0.3">
      <c r="B5" s="24" t="s">
        <v>62</v>
      </c>
      <c r="C5" s="10" t="s">
        <v>63</v>
      </c>
      <c r="D5" s="10" t="s">
        <v>64</v>
      </c>
      <c r="E5" s="10" t="s">
        <v>65</v>
      </c>
      <c r="F5" s="10" t="s">
        <v>67</v>
      </c>
      <c r="G5" s="10" t="s">
        <v>66</v>
      </c>
      <c r="I5" s="40" t="s">
        <v>68</v>
      </c>
      <c r="J5" s="41"/>
      <c r="K5" s="41"/>
      <c r="L5" s="41"/>
      <c r="M5" s="14" t="s">
        <v>69</v>
      </c>
    </row>
    <row r="6" spans="2:15" ht="42" customHeight="1" thickBot="1" x14ac:dyDescent="0.3">
      <c r="B6" s="25" t="s">
        <v>84</v>
      </c>
      <c r="C6" s="11">
        <v>16350</v>
      </c>
      <c r="D6" s="11">
        <v>2</v>
      </c>
      <c r="E6" s="11">
        <v>5</v>
      </c>
      <c r="F6" s="12">
        <f>1/E6*100</f>
        <v>20</v>
      </c>
      <c r="G6" s="13">
        <f>C6*D6/E6</f>
        <v>6540</v>
      </c>
    </row>
    <row r="7" spans="2:15" ht="54.75" customHeight="1" thickBot="1" x14ac:dyDescent="0.3">
      <c r="B7" s="25" t="s">
        <v>85</v>
      </c>
      <c r="C7" s="11">
        <v>4200</v>
      </c>
      <c r="D7" s="11">
        <v>1</v>
      </c>
      <c r="E7" s="11">
        <v>5</v>
      </c>
      <c r="F7" s="12">
        <f t="shared" ref="F7:F14" si="0">1/E7*100</f>
        <v>20</v>
      </c>
      <c r="G7" s="13">
        <f t="shared" ref="G7:G14" si="1">C7*D7/E7</f>
        <v>840</v>
      </c>
      <c r="I7" s="36" t="s">
        <v>71</v>
      </c>
      <c r="J7" s="36"/>
      <c r="K7" s="36"/>
      <c r="L7" s="36"/>
      <c r="M7" s="36" t="s">
        <v>74</v>
      </c>
      <c r="N7" s="36"/>
      <c r="O7" s="36"/>
    </row>
    <row r="8" spans="2:15" ht="54.75" customHeight="1" thickBot="1" x14ac:dyDescent="0.3">
      <c r="B8" s="25" t="s">
        <v>86</v>
      </c>
      <c r="C8" s="11">
        <v>6800</v>
      </c>
      <c r="D8" s="11">
        <v>1</v>
      </c>
      <c r="E8" s="11">
        <v>5</v>
      </c>
      <c r="F8" s="12">
        <v>20</v>
      </c>
      <c r="G8" s="13">
        <f t="shared" si="1"/>
        <v>1360</v>
      </c>
      <c r="I8" s="37" t="s">
        <v>72</v>
      </c>
      <c r="J8" s="37"/>
      <c r="K8" s="37"/>
      <c r="L8" s="37"/>
      <c r="M8" s="37" t="s">
        <v>73</v>
      </c>
      <c r="N8" s="37"/>
      <c r="O8" s="37"/>
    </row>
    <row r="9" spans="2:15" ht="54.75" customHeight="1" thickBot="1" x14ac:dyDescent="0.3">
      <c r="B9" s="25" t="s">
        <v>88</v>
      </c>
      <c r="C9" s="11">
        <v>5400</v>
      </c>
      <c r="D9" s="11">
        <v>1</v>
      </c>
      <c r="E9" s="11">
        <v>5</v>
      </c>
      <c r="F9" s="12">
        <v>20</v>
      </c>
      <c r="G9" s="13">
        <f t="shared" si="1"/>
        <v>1080</v>
      </c>
      <c r="I9" s="37"/>
      <c r="J9" s="37"/>
      <c r="K9" s="37"/>
      <c r="L9" s="37"/>
      <c r="M9" s="37"/>
      <c r="N9" s="37"/>
      <c r="O9" s="37"/>
    </row>
    <row r="10" spans="2:15" ht="54.75" customHeight="1" thickBot="1" x14ac:dyDescent="0.3">
      <c r="B10" s="25" t="s">
        <v>89</v>
      </c>
      <c r="C10" s="11">
        <v>5500</v>
      </c>
      <c r="D10" s="11">
        <v>1</v>
      </c>
      <c r="E10" s="11">
        <v>5</v>
      </c>
      <c r="F10" s="12">
        <v>20</v>
      </c>
      <c r="G10" s="13">
        <f t="shared" si="1"/>
        <v>1100</v>
      </c>
      <c r="I10" s="38" t="s">
        <v>70</v>
      </c>
      <c r="J10" s="38"/>
      <c r="K10" s="38"/>
      <c r="L10" s="38"/>
      <c r="M10" s="38"/>
      <c r="N10" s="38"/>
      <c r="O10" s="38"/>
    </row>
    <row r="11" spans="2:15" ht="54.75" customHeight="1" thickBot="1" x14ac:dyDescent="0.3">
      <c r="B11" s="25" t="s">
        <v>91</v>
      </c>
      <c r="C11" s="11">
        <v>3000</v>
      </c>
      <c r="D11" s="11">
        <v>2</v>
      </c>
      <c r="E11" s="11">
        <v>5</v>
      </c>
      <c r="F11" s="12">
        <v>20</v>
      </c>
      <c r="G11" s="13">
        <f t="shared" si="1"/>
        <v>1200</v>
      </c>
      <c r="I11" s="38"/>
      <c r="J11" s="38"/>
      <c r="K11" s="38"/>
      <c r="L11" s="38"/>
      <c r="M11" s="38"/>
      <c r="N11" s="38"/>
      <c r="O11" s="38"/>
    </row>
    <row r="12" spans="2:15" ht="54.75" customHeight="1" thickBot="1" x14ac:dyDescent="0.3">
      <c r="B12" s="25" t="s">
        <v>90</v>
      </c>
      <c r="C12" s="11">
        <v>5700</v>
      </c>
      <c r="D12" s="11">
        <v>2</v>
      </c>
      <c r="E12" s="11">
        <v>5</v>
      </c>
      <c r="F12" s="12">
        <v>20</v>
      </c>
      <c r="G12" s="13">
        <f t="shared" si="1"/>
        <v>2280</v>
      </c>
    </row>
    <row r="13" spans="2:15" ht="54.75" customHeight="1" thickBot="1" x14ac:dyDescent="0.3">
      <c r="B13" s="25" t="s">
        <v>87</v>
      </c>
      <c r="C13" s="11">
        <v>26000</v>
      </c>
      <c r="D13" s="11">
        <v>1</v>
      </c>
      <c r="E13" s="11">
        <v>5</v>
      </c>
      <c r="F13" s="12">
        <v>20</v>
      </c>
      <c r="G13" s="13">
        <f t="shared" si="1"/>
        <v>5200</v>
      </c>
    </row>
    <row r="14" spans="2:15" ht="54.75" customHeight="1" thickBot="1" x14ac:dyDescent="0.3">
      <c r="B14" s="25" t="s">
        <v>23</v>
      </c>
      <c r="C14" s="11">
        <v>5500</v>
      </c>
      <c r="D14" s="11">
        <v>2</v>
      </c>
      <c r="E14" s="11">
        <v>5</v>
      </c>
      <c r="F14" s="12">
        <f t="shared" si="0"/>
        <v>20</v>
      </c>
      <c r="G14" s="13">
        <f t="shared" si="1"/>
        <v>2200</v>
      </c>
    </row>
    <row r="15" spans="2:15" ht="54.75" customHeight="1" thickBot="1" x14ac:dyDescent="0.3">
      <c r="B15" s="25" t="s">
        <v>6</v>
      </c>
      <c r="C15" s="11"/>
      <c r="D15" s="11"/>
      <c r="E15" s="11"/>
      <c r="F15" s="11"/>
      <c r="G15" s="13">
        <f>G6+G7+G14</f>
        <v>9580</v>
      </c>
    </row>
    <row r="16" spans="2:15" ht="54.75" customHeight="1" x14ac:dyDescent="0.25"/>
    <row r="17" spans="2:7" ht="39" customHeight="1" thickBot="1" x14ac:dyDescent="0.3"/>
    <row r="18" spans="2:7" ht="66" customHeight="1" thickBot="1" x14ac:dyDescent="0.3">
      <c r="B18" s="24" t="s">
        <v>62</v>
      </c>
      <c r="C18" s="10" t="s">
        <v>63</v>
      </c>
      <c r="D18" s="10" t="s">
        <v>64</v>
      </c>
      <c r="E18" s="10" t="s">
        <v>65</v>
      </c>
      <c r="F18" s="10" t="s">
        <v>75</v>
      </c>
      <c r="G18" s="10" t="s">
        <v>66</v>
      </c>
    </row>
    <row r="19" spans="2:7" ht="43.5" thickBot="1" x14ac:dyDescent="0.3">
      <c r="B19" s="26" t="s">
        <v>84</v>
      </c>
      <c r="C19" s="17">
        <v>16350</v>
      </c>
      <c r="D19" s="17">
        <v>2</v>
      </c>
      <c r="E19" s="17">
        <v>5</v>
      </c>
      <c r="F19" s="16">
        <v>15</v>
      </c>
      <c r="G19" s="17"/>
    </row>
    <row r="20" spans="2:7" ht="15.75" thickBot="1" x14ac:dyDescent="0.3">
      <c r="B20" s="25" t="s">
        <v>76</v>
      </c>
      <c r="C20" s="30">
        <v>16350</v>
      </c>
      <c r="D20" s="11">
        <v>2</v>
      </c>
      <c r="E20" s="11">
        <v>5</v>
      </c>
      <c r="F20" s="18">
        <v>15</v>
      </c>
      <c r="G20" s="19">
        <f>E20/F20*(C20*D20)</f>
        <v>10900</v>
      </c>
    </row>
    <row r="21" spans="2:7" ht="15.75" thickBot="1" x14ac:dyDescent="0.3">
      <c r="B21" s="25" t="s">
        <v>77</v>
      </c>
      <c r="C21" s="30">
        <v>16350</v>
      </c>
      <c r="D21" s="11">
        <v>2</v>
      </c>
      <c r="E21" s="11">
        <v>4</v>
      </c>
      <c r="F21" s="18">
        <v>15</v>
      </c>
      <c r="G21" s="19">
        <f>E21/F21*(C21*D21)</f>
        <v>8720</v>
      </c>
    </row>
    <row r="22" spans="2:7" ht="15.75" thickBot="1" x14ac:dyDescent="0.3">
      <c r="B22" s="25" t="s">
        <v>78</v>
      </c>
      <c r="C22" s="30">
        <v>16350</v>
      </c>
      <c r="D22" s="11">
        <v>2</v>
      </c>
      <c r="E22" s="11">
        <v>3</v>
      </c>
      <c r="F22" s="11">
        <v>15</v>
      </c>
      <c r="G22" s="19">
        <f>E22/F22*(C22*D22)</f>
        <v>6540</v>
      </c>
    </row>
    <row r="23" spans="2:7" ht="15.75" thickBot="1" x14ac:dyDescent="0.3">
      <c r="B23" s="25" t="s">
        <v>79</v>
      </c>
      <c r="C23" s="30">
        <v>16350</v>
      </c>
      <c r="D23" s="11">
        <v>2</v>
      </c>
      <c r="E23" s="11">
        <v>2</v>
      </c>
      <c r="F23" s="11">
        <v>15</v>
      </c>
      <c r="G23" s="19">
        <f t="shared" ref="G23:G38" si="2">E23/F23*(C23*D23)</f>
        <v>4360</v>
      </c>
    </row>
    <row r="24" spans="2:7" ht="15.75" thickBot="1" x14ac:dyDescent="0.3">
      <c r="B24" s="25" t="s">
        <v>80</v>
      </c>
      <c r="C24" s="30">
        <v>16350</v>
      </c>
      <c r="D24" s="11">
        <v>2</v>
      </c>
      <c r="E24" s="11">
        <v>1</v>
      </c>
      <c r="F24" s="11">
        <v>15</v>
      </c>
      <c r="G24" s="19">
        <f t="shared" ref="G24" si="3">E24/F24*(C24*D24)</f>
        <v>2180</v>
      </c>
    </row>
    <row r="25" spans="2:7" ht="15.75" thickBot="1" x14ac:dyDescent="0.3">
      <c r="B25" s="27" t="s">
        <v>6</v>
      </c>
      <c r="C25" s="23"/>
      <c r="D25" s="23"/>
      <c r="E25" s="23"/>
      <c r="F25" s="23"/>
      <c r="G25" s="22">
        <f>G20+G21+G22+G23+G24</f>
        <v>32700</v>
      </c>
    </row>
    <row r="26" spans="2:7" ht="43.5" thickBot="1" x14ac:dyDescent="0.3">
      <c r="B26" s="26" t="s">
        <v>85</v>
      </c>
      <c r="C26" s="17">
        <v>4200</v>
      </c>
      <c r="D26" s="17">
        <v>1</v>
      </c>
      <c r="E26" s="17">
        <v>5</v>
      </c>
      <c r="F26" s="16">
        <v>15</v>
      </c>
      <c r="G26" s="21"/>
    </row>
    <row r="27" spans="2:7" ht="15.75" thickBot="1" x14ac:dyDescent="0.3">
      <c r="B27" s="25" t="s">
        <v>76</v>
      </c>
      <c r="C27" s="20">
        <v>4200</v>
      </c>
      <c r="D27" s="20">
        <v>1</v>
      </c>
      <c r="E27" s="11">
        <v>5</v>
      </c>
      <c r="F27" s="11">
        <v>15</v>
      </c>
      <c r="G27" s="19">
        <f t="shared" si="2"/>
        <v>1400</v>
      </c>
    </row>
    <row r="28" spans="2:7" ht="15.75" thickBot="1" x14ac:dyDescent="0.3">
      <c r="B28" s="25" t="s">
        <v>77</v>
      </c>
      <c r="C28" s="20">
        <v>4200</v>
      </c>
      <c r="D28" s="20">
        <v>1</v>
      </c>
      <c r="E28" s="11">
        <v>4</v>
      </c>
      <c r="F28" s="11">
        <v>15</v>
      </c>
      <c r="G28" s="19">
        <f t="shared" si="2"/>
        <v>1120</v>
      </c>
    </row>
    <row r="29" spans="2:7" ht="15.75" thickBot="1" x14ac:dyDescent="0.3">
      <c r="B29" s="25" t="s">
        <v>78</v>
      </c>
      <c r="C29" s="20">
        <v>4200</v>
      </c>
      <c r="D29" s="20">
        <v>1</v>
      </c>
      <c r="E29" s="11">
        <v>3</v>
      </c>
      <c r="F29" s="11">
        <v>15</v>
      </c>
      <c r="G29" s="19">
        <f t="shared" si="2"/>
        <v>840</v>
      </c>
    </row>
    <row r="30" spans="2:7" ht="15.75" thickBot="1" x14ac:dyDescent="0.3">
      <c r="B30" s="25" t="s">
        <v>79</v>
      </c>
      <c r="C30" s="20">
        <v>4200</v>
      </c>
      <c r="D30" s="20">
        <v>1</v>
      </c>
      <c r="E30" s="11">
        <v>2</v>
      </c>
      <c r="F30" s="11">
        <v>15</v>
      </c>
      <c r="G30" s="19">
        <f t="shared" si="2"/>
        <v>560</v>
      </c>
    </row>
    <row r="31" spans="2:7" ht="15.75" thickBot="1" x14ac:dyDescent="0.3">
      <c r="B31" s="25" t="s">
        <v>80</v>
      </c>
      <c r="C31" s="20">
        <v>4200</v>
      </c>
      <c r="D31" s="20">
        <v>1</v>
      </c>
      <c r="E31" s="11">
        <v>1</v>
      </c>
      <c r="F31" s="11">
        <v>15</v>
      </c>
      <c r="G31" s="19">
        <f t="shared" si="2"/>
        <v>280</v>
      </c>
    </row>
    <row r="32" spans="2:7" ht="15.75" thickBot="1" x14ac:dyDescent="0.3">
      <c r="B32" s="27" t="s">
        <v>6</v>
      </c>
      <c r="C32" s="23"/>
      <c r="D32" s="23"/>
      <c r="E32" s="23"/>
      <c r="F32" s="23"/>
      <c r="G32" s="22">
        <f>G27+G28+G29+G30+G31</f>
        <v>4200</v>
      </c>
    </row>
    <row r="33" spans="2:7" ht="15.75" thickBot="1" x14ac:dyDescent="0.3">
      <c r="B33" s="28" t="s">
        <v>86</v>
      </c>
      <c r="C33" s="15">
        <v>6800</v>
      </c>
      <c r="D33" s="15">
        <v>1</v>
      </c>
      <c r="E33" s="15">
        <v>5</v>
      </c>
      <c r="F33" s="16">
        <v>15</v>
      </c>
      <c r="G33" s="21"/>
    </row>
    <row r="34" spans="2:7" ht="15.75" thickBot="1" x14ac:dyDescent="0.3">
      <c r="B34" s="25" t="s">
        <v>76</v>
      </c>
      <c r="C34" s="20">
        <v>6800</v>
      </c>
      <c r="D34" s="20">
        <v>1</v>
      </c>
      <c r="E34" s="11">
        <v>5</v>
      </c>
      <c r="F34" s="11">
        <v>15</v>
      </c>
      <c r="G34" s="19">
        <f t="shared" si="2"/>
        <v>2266.6666666666665</v>
      </c>
    </row>
    <row r="35" spans="2:7" ht="15.75" thickBot="1" x14ac:dyDescent="0.3">
      <c r="B35" s="25" t="s">
        <v>77</v>
      </c>
      <c r="C35" s="20">
        <v>6800</v>
      </c>
      <c r="D35" s="20">
        <v>1</v>
      </c>
      <c r="E35" s="11">
        <v>4</v>
      </c>
      <c r="F35" s="11">
        <v>15</v>
      </c>
      <c r="G35" s="19">
        <f>E35/F38*(C35*D35)</f>
        <v>1813.3333333333333</v>
      </c>
    </row>
    <row r="36" spans="2:7" ht="15.75" thickBot="1" x14ac:dyDescent="0.3">
      <c r="B36" s="25" t="s">
        <v>81</v>
      </c>
      <c r="C36" s="20">
        <v>6800</v>
      </c>
      <c r="D36" s="20">
        <v>1</v>
      </c>
      <c r="E36" s="11">
        <v>3</v>
      </c>
      <c r="F36" s="11">
        <v>15</v>
      </c>
      <c r="G36" s="19">
        <f t="shared" si="2"/>
        <v>1360</v>
      </c>
    </row>
    <row r="37" spans="2:7" ht="15.75" thickBot="1" x14ac:dyDescent="0.3">
      <c r="B37" s="25" t="s">
        <v>82</v>
      </c>
      <c r="C37" s="20">
        <v>6800</v>
      </c>
      <c r="D37" s="20">
        <v>1</v>
      </c>
      <c r="E37" s="11">
        <v>2</v>
      </c>
      <c r="F37" s="11">
        <v>15</v>
      </c>
      <c r="G37" s="19">
        <f t="shared" si="2"/>
        <v>906.66666666666663</v>
      </c>
    </row>
    <row r="38" spans="2:7" ht="15.75" thickBot="1" x14ac:dyDescent="0.3">
      <c r="B38" s="25" t="s">
        <v>83</v>
      </c>
      <c r="C38" s="20">
        <v>6800</v>
      </c>
      <c r="D38" s="20">
        <v>1</v>
      </c>
      <c r="E38" s="11">
        <v>1</v>
      </c>
      <c r="F38" s="11">
        <v>15</v>
      </c>
      <c r="G38" s="19">
        <f t="shared" si="2"/>
        <v>453.33333333333331</v>
      </c>
    </row>
    <row r="39" spans="2:7" ht="15.75" thickBot="1" x14ac:dyDescent="0.3">
      <c r="B39" s="27" t="s">
        <v>6</v>
      </c>
      <c r="C39" s="23"/>
      <c r="D39" s="23"/>
      <c r="E39" s="23"/>
      <c r="F39" s="23"/>
      <c r="G39" s="22">
        <f>G34+G35+G36+G37+G38</f>
        <v>6800</v>
      </c>
    </row>
    <row r="40" spans="2:7" ht="15.75" thickBot="1" x14ac:dyDescent="0.3">
      <c r="B40" s="28" t="s">
        <v>88</v>
      </c>
      <c r="C40" s="15">
        <v>5400</v>
      </c>
      <c r="D40" s="15">
        <v>1</v>
      </c>
      <c r="E40" s="15">
        <v>5</v>
      </c>
      <c r="F40" s="16">
        <v>15</v>
      </c>
      <c r="G40" s="21"/>
    </row>
    <row r="41" spans="2:7" ht="15.75" thickBot="1" x14ac:dyDescent="0.3">
      <c r="B41" s="25" t="s">
        <v>76</v>
      </c>
      <c r="C41" s="11">
        <v>5400</v>
      </c>
      <c r="D41" s="20">
        <v>1</v>
      </c>
      <c r="E41" s="11">
        <v>5</v>
      </c>
      <c r="F41" s="11">
        <v>15</v>
      </c>
      <c r="G41" s="19">
        <f t="shared" ref="G41" si="4">E41/F41*(C41*D41)</f>
        <v>1800</v>
      </c>
    </row>
    <row r="42" spans="2:7" ht="15.75" thickBot="1" x14ac:dyDescent="0.3">
      <c r="B42" s="25" t="s">
        <v>77</v>
      </c>
      <c r="C42" s="11">
        <v>5400</v>
      </c>
      <c r="D42" s="20">
        <v>1</v>
      </c>
      <c r="E42" s="11">
        <v>4</v>
      </c>
      <c r="F42" s="11">
        <v>15</v>
      </c>
      <c r="G42" s="19">
        <f>E42/F45*(C42*D42)</f>
        <v>1440</v>
      </c>
    </row>
    <row r="43" spans="2:7" ht="15.75" thickBot="1" x14ac:dyDescent="0.3">
      <c r="B43" s="25" t="s">
        <v>81</v>
      </c>
      <c r="C43" s="11">
        <v>5400</v>
      </c>
      <c r="D43" s="20">
        <v>1</v>
      </c>
      <c r="E43" s="11">
        <v>3</v>
      </c>
      <c r="F43" s="11">
        <v>15</v>
      </c>
      <c r="G43" s="19">
        <f t="shared" ref="G43:G45" si="5">E43/F43*(C43*D43)</f>
        <v>1080</v>
      </c>
    </row>
    <row r="44" spans="2:7" ht="15.75" thickBot="1" x14ac:dyDescent="0.3">
      <c r="B44" s="25" t="s">
        <v>82</v>
      </c>
      <c r="C44" s="11">
        <v>5400</v>
      </c>
      <c r="D44" s="20">
        <v>1</v>
      </c>
      <c r="E44" s="11">
        <v>2</v>
      </c>
      <c r="F44" s="11">
        <v>15</v>
      </c>
      <c r="G44" s="19">
        <f t="shared" si="5"/>
        <v>720</v>
      </c>
    </row>
    <row r="45" spans="2:7" ht="15.75" thickBot="1" x14ac:dyDescent="0.3">
      <c r="B45" s="25" t="s">
        <v>83</v>
      </c>
      <c r="C45" s="11">
        <v>5400</v>
      </c>
      <c r="D45" s="20">
        <v>1</v>
      </c>
      <c r="E45" s="11">
        <v>1</v>
      </c>
      <c r="F45" s="11">
        <v>15</v>
      </c>
      <c r="G45" s="19">
        <f t="shared" si="5"/>
        <v>360</v>
      </c>
    </row>
    <row r="46" spans="2:7" ht="15.75" thickBot="1" x14ac:dyDescent="0.3">
      <c r="B46" s="27" t="s">
        <v>6</v>
      </c>
      <c r="C46" s="23"/>
      <c r="D46" s="23"/>
      <c r="E46" s="23"/>
      <c r="F46" s="23"/>
      <c r="G46" s="22">
        <f>G41+G42+G43+G44+G45</f>
        <v>5400</v>
      </c>
    </row>
    <row r="47" spans="2:7" ht="30.75" thickBot="1" x14ac:dyDescent="0.3">
      <c r="B47" s="28" t="s">
        <v>89</v>
      </c>
      <c r="C47" s="15">
        <v>5500</v>
      </c>
      <c r="D47" s="15">
        <v>1</v>
      </c>
      <c r="E47" s="15">
        <v>5</v>
      </c>
      <c r="F47" s="16">
        <v>15</v>
      </c>
      <c r="G47" s="21"/>
    </row>
    <row r="48" spans="2:7" ht="15.75" thickBot="1" x14ac:dyDescent="0.3">
      <c r="B48" s="25" t="s">
        <v>76</v>
      </c>
      <c r="C48" s="45">
        <v>5500</v>
      </c>
      <c r="D48" s="20">
        <v>1</v>
      </c>
      <c r="E48" s="11">
        <v>5</v>
      </c>
      <c r="F48" s="11">
        <v>15</v>
      </c>
      <c r="G48" s="19">
        <f t="shared" ref="G48" si="6">E48/F48*(C48*D48)</f>
        <v>1833.3333333333333</v>
      </c>
    </row>
    <row r="49" spans="2:7" ht="15.75" thickBot="1" x14ac:dyDescent="0.3">
      <c r="B49" s="25" t="s">
        <v>77</v>
      </c>
      <c r="C49" s="45">
        <v>5500</v>
      </c>
      <c r="D49" s="20">
        <v>1</v>
      </c>
      <c r="E49" s="11">
        <v>4</v>
      </c>
      <c r="F49" s="11">
        <v>15</v>
      </c>
      <c r="G49" s="19">
        <f>E49/F52*(C49*D49)</f>
        <v>1466.6666666666667</v>
      </c>
    </row>
    <row r="50" spans="2:7" ht="15.75" thickBot="1" x14ac:dyDescent="0.3">
      <c r="B50" s="25" t="s">
        <v>81</v>
      </c>
      <c r="C50" s="45">
        <v>5500</v>
      </c>
      <c r="D50" s="20">
        <v>1</v>
      </c>
      <c r="E50" s="11">
        <v>3</v>
      </c>
      <c r="F50" s="11">
        <v>15</v>
      </c>
      <c r="G50" s="19">
        <f t="shared" ref="G50:G52" si="7">E50/F50*(C50*D50)</f>
        <v>1100</v>
      </c>
    </row>
    <row r="51" spans="2:7" ht="15.75" thickBot="1" x14ac:dyDescent="0.3">
      <c r="B51" s="25" t="s">
        <v>82</v>
      </c>
      <c r="C51" s="45">
        <v>5500</v>
      </c>
      <c r="D51" s="20">
        <v>1</v>
      </c>
      <c r="E51" s="11">
        <v>2</v>
      </c>
      <c r="F51" s="11">
        <v>15</v>
      </c>
      <c r="G51" s="19">
        <f t="shared" si="7"/>
        <v>733.33333333333337</v>
      </c>
    </row>
    <row r="52" spans="2:7" ht="15.75" thickBot="1" x14ac:dyDescent="0.3">
      <c r="B52" s="25" t="s">
        <v>83</v>
      </c>
      <c r="C52" s="45">
        <v>5500</v>
      </c>
      <c r="D52" s="20">
        <v>1</v>
      </c>
      <c r="E52" s="11">
        <v>1</v>
      </c>
      <c r="F52" s="11">
        <v>15</v>
      </c>
      <c r="G52" s="19">
        <f t="shared" si="7"/>
        <v>366.66666666666669</v>
      </c>
    </row>
    <row r="53" spans="2:7" ht="15.75" thickBot="1" x14ac:dyDescent="0.3">
      <c r="B53" s="27" t="s">
        <v>6</v>
      </c>
      <c r="C53" s="23"/>
      <c r="D53" s="23"/>
      <c r="E53" s="23"/>
      <c r="F53" s="23"/>
      <c r="G53" s="22">
        <f>G48+G49+G50+G51+G52</f>
        <v>5500</v>
      </c>
    </row>
    <row r="54" spans="2:7" ht="15.75" thickBot="1" x14ac:dyDescent="0.3">
      <c r="B54" s="28" t="s">
        <v>91</v>
      </c>
      <c r="C54" s="15">
        <v>3000</v>
      </c>
      <c r="D54" s="15">
        <v>1</v>
      </c>
      <c r="E54" s="15">
        <v>5</v>
      </c>
      <c r="F54" s="16">
        <v>15</v>
      </c>
      <c r="G54" s="21"/>
    </row>
    <row r="55" spans="2:7" ht="15.75" thickBot="1" x14ac:dyDescent="0.3">
      <c r="B55" s="25" t="s">
        <v>76</v>
      </c>
      <c r="C55" s="45">
        <v>3000</v>
      </c>
      <c r="D55" s="20">
        <v>1</v>
      </c>
      <c r="E55" s="11">
        <v>5</v>
      </c>
      <c r="F55" s="11">
        <v>15</v>
      </c>
      <c r="G55" s="19">
        <f t="shared" ref="G55" si="8">E55/F55*(C55*D55)</f>
        <v>1000</v>
      </c>
    </row>
    <row r="56" spans="2:7" ht="15.75" thickBot="1" x14ac:dyDescent="0.3">
      <c r="B56" s="25" t="s">
        <v>77</v>
      </c>
      <c r="C56" s="45">
        <v>3000</v>
      </c>
      <c r="D56" s="20">
        <v>1</v>
      </c>
      <c r="E56" s="11">
        <v>4</v>
      </c>
      <c r="F56" s="11">
        <v>15</v>
      </c>
      <c r="G56" s="19">
        <f>E56/F59*(C56*D56)</f>
        <v>800</v>
      </c>
    </row>
    <row r="57" spans="2:7" ht="15.75" thickBot="1" x14ac:dyDescent="0.3">
      <c r="B57" s="25" t="s">
        <v>81</v>
      </c>
      <c r="C57" s="45">
        <v>3000</v>
      </c>
      <c r="D57" s="20">
        <v>1</v>
      </c>
      <c r="E57" s="11">
        <v>3</v>
      </c>
      <c r="F57" s="11">
        <v>15</v>
      </c>
      <c r="G57" s="19">
        <f t="shared" ref="G57:G59" si="9">E57/F57*(C57*D57)</f>
        <v>600</v>
      </c>
    </row>
    <row r="58" spans="2:7" ht="15.75" thickBot="1" x14ac:dyDescent="0.3">
      <c r="B58" s="25" t="s">
        <v>82</v>
      </c>
      <c r="C58" s="45">
        <v>3000</v>
      </c>
      <c r="D58" s="20">
        <v>1</v>
      </c>
      <c r="E58" s="11">
        <v>2</v>
      </c>
      <c r="F58" s="11">
        <v>15</v>
      </c>
      <c r="G58" s="19">
        <f t="shared" si="9"/>
        <v>400</v>
      </c>
    </row>
    <row r="59" spans="2:7" ht="15.75" thickBot="1" x14ac:dyDescent="0.3">
      <c r="B59" s="25" t="s">
        <v>83</v>
      </c>
      <c r="C59" s="45">
        <v>3000</v>
      </c>
      <c r="D59" s="20">
        <v>1</v>
      </c>
      <c r="E59" s="11">
        <v>1</v>
      </c>
      <c r="F59" s="11">
        <v>15</v>
      </c>
      <c r="G59" s="19">
        <f t="shared" si="9"/>
        <v>200</v>
      </c>
    </row>
    <row r="60" spans="2:7" ht="15.75" thickBot="1" x14ac:dyDescent="0.3">
      <c r="B60" s="27" t="s">
        <v>6</v>
      </c>
      <c r="C60" s="23"/>
      <c r="D60" s="23"/>
      <c r="E60" s="23"/>
      <c r="F60" s="23"/>
      <c r="G60" s="22">
        <f>G55+G56+G57+G58+G59</f>
        <v>3000</v>
      </c>
    </row>
    <row r="61" spans="2:7" ht="30.75" thickBot="1" x14ac:dyDescent="0.3">
      <c r="B61" s="28" t="s">
        <v>90</v>
      </c>
      <c r="C61" s="15">
        <v>5700</v>
      </c>
      <c r="D61" s="15">
        <v>1</v>
      </c>
      <c r="E61" s="15">
        <v>5</v>
      </c>
      <c r="F61" s="16">
        <v>15</v>
      </c>
      <c r="G61" s="21"/>
    </row>
    <row r="62" spans="2:7" ht="15.75" thickBot="1" x14ac:dyDescent="0.3">
      <c r="B62" s="25" t="s">
        <v>76</v>
      </c>
      <c r="C62" s="45">
        <v>5700</v>
      </c>
      <c r="D62" s="20">
        <v>1</v>
      </c>
      <c r="E62" s="11">
        <v>5</v>
      </c>
      <c r="F62" s="11">
        <v>15</v>
      </c>
      <c r="G62" s="19">
        <f t="shared" ref="G62" si="10">E62/F62*(C62*D62)</f>
        <v>1900</v>
      </c>
    </row>
    <row r="63" spans="2:7" ht="15.75" thickBot="1" x14ac:dyDescent="0.3">
      <c r="B63" s="25" t="s">
        <v>77</v>
      </c>
      <c r="C63" s="45">
        <v>5700</v>
      </c>
      <c r="D63" s="20">
        <v>1</v>
      </c>
      <c r="E63" s="11">
        <v>4</v>
      </c>
      <c r="F63" s="11">
        <v>15</v>
      </c>
      <c r="G63" s="19">
        <f>E63/F66*(C63*D63)</f>
        <v>1520</v>
      </c>
    </row>
    <row r="64" spans="2:7" ht="15.75" thickBot="1" x14ac:dyDescent="0.3">
      <c r="B64" s="25" t="s">
        <v>81</v>
      </c>
      <c r="C64" s="45">
        <v>5700</v>
      </c>
      <c r="D64" s="20">
        <v>1</v>
      </c>
      <c r="E64" s="11">
        <v>3</v>
      </c>
      <c r="F64" s="11">
        <v>15</v>
      </c>
      <c r="G64" s="19">
        <f t="shared" ref="G64:G66" si="11">E64/F64*(C64*D64)</f>
        <v>1140</v>
      </c>
    </row>
    <row r="65" spans="2:7" ht="15.75" thickBot="1" x14ac:dyDescent="0.3">
      <c r="B65" s="25" t="s">
        <v>82</v>
      </c>
      <c r="C65" s="45">
        <v>5700</v>
      </c>
      <c r="D65" s="20">
        <v>1</v>
      </c>
      <c r="E65" s="11">
        <v>2</v>
      </c>
      <c r="F65" s="11">
        <v>15</v>
      </c>
      <c r="G65" s="19">
        <f t="shared" si="11"/>
        <v>760</v>
      </c>
    </row>
    <row r="66" spans="2:7" ht="15.75" thickBot="1" x14ac:dyDescent="0.3">
      <c r="B66" s="25" t="s">
        <v>83</v>
      </c>
      <c r="C66" s="45">
        <v>5700</v>
      </c>
      <c r="D66" s="20">
        <v>1</v>
      </c>
      <c r="E66" s="11">
        <v>1</v>
      </c>
      <c r="F66" s="11">
        <v>15</v>
      </c>
      <c r="G66" s="19">
        <f t="shared" si="11"/>
        <v>380</v>
      </c>
    </row>
    <row r="67" spans="2:7" ht="15.75" thickBot="1" x14ac:dyDescent="0.3">
      <c r="B67" s="27" t="s">
        <v>6</v>
      </c>
      <c r="C67" s="46"/>
      <c r="D67" s="46"/>
      <c r="E67" s="46"/>
      <c r="F67" s="46"/>
      <c r="G67" s="22">
        <f>SUM(G62:G66)</f>
        <v>5700</v>
      </c>
    </row>
    <row r="68" spans="2:7" ht="45.75" thickBot="1" x14ac:dyDescent="0.3">
      <c r="B68" s="28" t="s">
        <v>87</v>
      </c>
      <c r="C68" s="15">
        <v>26000</v>
      </c>
      <c r="D68" s="15">
        <v>1</v>
      </c>
      <c r="E68" s="15">
        <v>5</v>
      </c>
      <c r="F68" s="16">
        <v>15</v>
      </c>
      <c r="G68" s="21"/>
    </row>
    <row r="69" spans="2:7" ht="15.75" thickBot="1" x14ac:dyDescent="0.3">
      <c r="B69" s="25" t="s">
        <v>76</v>
      </c>
      <c r="C69" s="45">
        <v>26000</v>
      </c>
      <c r="D69" s="20">
        <v>1</v>
      </c>
      <c r="E69" s="11">
        <v>5</v>
      </c>
      <c r="F69" s="11">
        <v>15</v>
      </c>
      <c r="G69" s="19">
        <f t="shared" ref="G69" si="12">E69/F69*(C69*D69)</f>
        <v>8666.6666666666661</v>
      </c>
    </row>
    <row r="70" spans="2:7" ht="15.75" thickBot="1" x14ac:dyDescent="0.3">
      <c r="B70" s="25" t="s">
        <v>77</v>
      </c>
      <c r="C70" s="45">
        <v>26000</v>
      </c>
      <c r="D70" s="20">
        <v>1</v>
      </c>
      <c r="E70" s="11">
        <v>4</v>
      </c>
      <c r="F70" s="11">
        <v>15</v>
      </c>
      <c r="G70" s="19">
        <f>E70/F73*(C70*D70)</f>
        <v>6933.333333333333</v>
      </c>
    </row>
    <row r="71" spans="2:7" ht="15.75" thickBot="1" x14ac:dyDescent="0.3">
      <c r="B71" s="25" t="s">
        <v>81</v>
      </c>
      <c r="C71" s="45">
        <v>26000</v>
      </c>
      <c r="D71" s="20">
        <v>1</v>
      </c>
      <c r="E71" s="11">
        <v>3</v>
      </c>
      <c r="F71" s="11">
        <v>15</v>
      </c>
      <c r="G71" s="19">
        <f t="shared" ref="G71:G73" si="13">E71/F71*(C71*D71)</f>
        <v>5200</v>
      </c>
    </row>
    <row r="72" spans="2:7" ht="15.75" thickBot="1" x14ac:dyDescent="0.3">
      <c r="B72" s="25" t="s">
        <v>82</v>
      </c>
      <c r="C72" s="45">
        <v>26000</v>
      </c>
      <c r="D72" s="20">
        <v>1</v>
      </c>
      <c r="E72" s="11">
        <v>2</v>
      </c>
      <c r="F72" s="11">
        <v>15</v>
      </c>
      <c r="G72" s="19">
        <f t="shared" si="13"/>
        <v>3466.6666666666665</v>
      </c>
    </row>
    <row r="73" spans="2:7" ht="15.75" thickBot="1" x14ac:dyDescent="0.3">
      <c r="B73" s="25" t="s">
        <v>83</v>
      </c>
      <c r="C73" s="45">
        <v>26000</v>
      </c>
      <c r="D73" s="20">
        <v>1</v>
      </c>
      <c r="E73" s="11">
        <v>1</v>
      </c>
      <c r="F73" s="11">
        <v>15</v>
      </c>
      <c r="G73" s="19">
        <f t="shared" si="13"/>
        <v>1733.3333333333333</v>
      </c>
    </row>
    <row r="74" spans="2:7" ht="15.75" thickBot="1" x14ac:dyDescent="0.3">
      <c r="B74" s="27" t="s">
        <v>6</v>
      </c>
      <c r="C74" s="46"/>
      <c r="D74" s="46"/>
      <c r="E74" s="46"/>
      <c r="F74" s="46"/>
      <c r="G74" s="22">
        <f>SUM(G69:G73)</f>
        <v>26000</v>
      </c>
    </row>
    <row r="75" spans="2:7" ht="15.75" thickBot="1" x14ac:dyDescent="0.3">
      <c r="B75" s="28" t="s">
        <v>23</v>
      </c>
      <c r="C75" s="15">
        <v>5500</v>
      </c>
      <c r="D75" s="15">
        <v>1</v>
      </c>
      <c r="E75" s="15">
        <v>5</v>
      </c>
      <c r="F75" s="16">
        <v>15</v>
      </c>
      <c r="G75" s="21"/>
    </row>
    <row r="76" spans="2:7" ht="15.75" thickBot="1" x14ac:dyDescent="0.3">
      <c r="B76" s="25" t="s">
        <v>76</v>
      </c>
      <c r="C76" s="45">
        <v>5500</v>
      </c>
      <c r="D76" s="20">
        <v>1</v>
      </c>
      <c r="E76" s="11">
        <v>5</v>
      </c>
      <c r="F76" s="11">
        <v>15</v>
      </c>
      <c r="G76" s="19">
        <f t="shared" ref="G76" si="14">E76/F76*(C76*D76)</f>
        <v>1833.3333333333333</v>
      </c>
    </row>
    <row r="77" spans="2:7" ht="15.75" thickBot="1" x14ac:dyDescent="0.3">
      <c r="B77" s="25" t="s">
        <v>77</v>
      </c>
      <c r="C77" s="45">
        <v>5500</v>
      </c>
      <c r="D77" s="20">
        <v>1</v>
      </c>
      <c r="E77" s="11">
        <v>4</v>
      </c>
      <c r="F77" s="11">
        <v>15</v>
      </c>
      <c r="G77" s="19">
        <f>E77/F80*(C77*D77)</f>
        <v>1466.6666666666667</v>
      </c>
    </row>
    <row r="78" spans="2:7" ht="15.75" thickBot="1" x14ac:dyDescent="0.3">
      <c r="B78" s="25" t="s">
        <v>81</v>
      </c>
      <c r="C78" s="45">
        <v>5500</v>
      </c>
      <c r="D78" s="20">
        <v>1</v>
      </c>
      <c r="E78" s="11">
        <v>3</v>
      </c>
      <c r="F78" s="11">
        <v>15</v>
      </c>
      <c r="G78" s="19">
        <f t="shared" ref="G78:G80" si="15">E78/F78*(C78*D78)</f>
        <v>1100</v>
      </c>
    </row>
    <row r="79" spans="2:7" ht="15.75" thickBot="1" x14ac:dyDescent="0.3">
      <c r="B79" s="25" t="s">
        <v>82</v>
      </c>
      <c r="C79" s="45">
        <v>5500</v>
      </c>
      <c r="D79" s="20">
        <v>1</v>
      </c>
      <c r="E79" s="11">
        <v>2</v>
      </c>
      <c r="F79" s="11">
        <v>15</v>
      </c>
      <c r="G79" s="19">
        <f t="shared" si="15"/>
        <v>733.33333333333337</v>
      </c>
    </row>
    <row r="80" spans="2:7" ht="15.75" thickBot="1" x14ac:dyDescent="0.3">
      <c r="B80" s="25" t="s">
        <v>83</v>
      </c>
      <c r="C80" s="45">
        <v>5500</v>
      </c>
      <c r="D80" s="20">
        <v>1</v>
      </c>
      <c r="E80" s="11">
        <v>1</v>
      </c>
      <c r="F80" s="11">
        <v>15</v>
      </c>
      <c r="G80" s="19">
        <f t="shared" si="15"/>
        <v>366.66666666666669</v>
      </c>
    </row>
    <row r="81" spans="2:7" ht="15.75" thickBot="1" x14ac:dyDescent="0.3">
      <c r="B81" s="27" t="s">
        <v>6</v>
      </c>
      <c r="C81" s="46"/>
      <c r="D81" s="46"/>
      <c r="E81" s="46"/>
      <c r="F81" s="46"/>
      <c r="G81" s="22">
        <f>SUM(G76:G80)</f>
        <v>5500</v>
      </c>
    </row>
  </sheetData>
  <mergeCells count="8">
    <mergeCell ref="M7:O7"/>
    <mergeCell ref="M8:O9"/>
    <mergeCell ref="M10:O11"/>
    <mergeCell ref="B2:G2"/>
    <mergeCell ref="I5:L5"/>
    <mergeCell ref="I8:L9"/>
    <mergeCell ref="I10:L11"/>
    <mergeCell ref="I7:L7"/>
  </mergeCells>
  <phoneticPr fontId="5" type="noConversion"/>
  <hyperlinks>
    <hyperlink ref="I5" r:id="rId1"/>
  </hyperlink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33"/>
  <sheetViews>
    <sheetView tabSelected="1" topLeftCell="A11" workbookViewId="0">
      <selection activeCell="D19" sqref="D19"/>
    </sheetView>
  </sheetViews>
  <sheetFormatPr defaultRowHeight="15" x14ac:dyDescent="0.25"/>
  <cols>
    <col min="1" max="1" width="29.140625" customWidth="1"/>
    <col min="2" max="2" width="16.140625" customWidth="1"/>
    <col min="3" max="3" width="11.7109375" customWidth="1"/>
    <col min="4" max="5" width="13" customWidth="1"/>
    <col min="6" max="6" width="13.5703125" customWidth="1"/>
  </cols>
  <sheetData>
    <row r="2" spans="1:7" x14ac:dyDescent="0.25">
      <c r="A2" s="42" t="s">
        <v>35</v>
      </c>
      <c r="B2" s="42"/>
      <c r="C2" s="42"/>
      <c r="D2" s="42"/>
      <c r="E2" s="42"/>
      <c r="F2" s="42"/>
      <c r="G2" s="42"/>
    </row>
    <row r="4" spans="1:7" x14ac:dyDescent="0.25">
      <c r="A4" s="34" t="s">
        <v>36</v>
      </c>
      <c r="B4" s="34"/>
      <c r="C4" s="34"/>
      <c r="D4" s="34"/>
      <c r="E4" s="34"/>
      <c r="F4" s="34"/>
      <c r="G4" s="34"/>
    </row>
    <row r="5" spans="1:7" x14ac:dyDescent="0.25">
      <c r="A5" s="34"/>
      <c r="B5" s="34"/>
      <c r="C5" s="34"/>
      <c r="D5" s="34"/>
      <c r="E5" s="34"/>
      <c r="F5" s="34"/>
      <c r="G5" s="34"/>
    </row>
    <row r="6" spans="1:7" x14ac:dyDescent="0.25">
      <c r="A6" s="34"/>
      <c r="B6" s="34"/>
      <c r="C6" s="34"/>
      <c r="D6" s="34"/>
      <c r="E6" s="34"/>
      <c r="F6" s="34"/>
      <c r="G6" s="34"/>
    </row>
    <row r="7" spans="1:7" x14ac:dyDescent="0.25">
      <c r="A7" s="34"/>
      <c r="B7" s="34"/>
      <c r="C7" s="34"/>
      <c r="D7" s="34"/>
      <c r="E7" s="34"/>
      <c r="F7" s="34"/>
      <c r="G7" s="34"/>
    </row>
    <row r="8" spans="1:7" ht="51.75" customHeight="1" x14ac:dyDescent="0.25">
      <c r="A8" s="34"/>
      <c r="B8" s="34"/>
      <c r="C8" s="34"/>
      <c r="D8" s="34"/>
      <c r="E8" s="34"/>
      <c r="F8" s="34"/>
      <c r="G8" s="34"/>
    </row>
    <row r="10" spans="1:7" x14ac:dyDescent="0.25">
      <c r="A10" s="42" t="s">
        <v>37</v>
      </c>
      <c r="B10" s="42"/>
      <c r="C10" s="42"/>
      <c r="D10" s="42"/>
      <c r="E10" s="42"/>
      <c r="F10" s="42"/>
      <c r="G10" s="42"/>
    </row>
    <row r="13" spans="1:7" ht="44.25" customHeight="1" x14ac:dyDescent="0.25">
      <c r="A13" s="2"/>
      <c r="B13" s="43" t="s">
        <v>39</v>
      </c>
      <c r="C13" s="43" t="s">
        <v>40</v>
      </c>
      <c r="D13" s="43" t="s">
        <v>41</v>
      </c>
      <c r="E13" s="43" t="s">
        <v>51</v>
      </c>
      <c r="F13" s="43" t="s">
        <v>42</v>
      </c>
    </row>
    <row r="14" spans="1:7" x14ac:dyDescent="0.25">
      <c r="A14" s="2" t="s">
        <v>38</v>
      </c>
      <c r="B14" s="43"/>
      <c r="C14" s="43"/>
      <c r="D14" s="43"/>
      <c r="E14" s="43"/>
      <c r="F14" s="43"/>
    </row>
    <row r="15" spans="1:7" x14ac:dyDescent="0.25">
      <c r="A15" s="2" t="s">
        <v>43</v>
      </c>
      <c r="B15" s="7">
        <v>150</v>
      </c>
      <c r="C15" s="7">
        <v>8</v>
      </c>
      <c r="D15" s="2">
        <v>1</v>
      </c>
      <c r="E15" s="7">
        <v>30</v>
      </c>
      <c r="F15" s="4">
        <f>B15*C15*E15</f>
        <v>36000</v>
      </c>
    </row>
    <row r="16" spans="1:7" x14ac:dyDescent="0.25">
      <c r="A16" s="2" t="s">
        <v>44</v>
      </c>
      <c r="B16" s="7">
        <v>210</v>
      </c>
      <c r="C16" s="7">
        <v>8</v>
      </c>
      <c r="D16" s="2">
        <v>1</v>
      </c>
      <c r="E16" s="7">
        <v>30</v>
      </c>
      <c r="F16" s="4">
        <f>B16*C16*E16</f>
        <v>50400</v>
      </c>
    </row>
    <row r="20" spans="1:10" x14ac:dyDescent="0.25">
      <c r="A20" s="42" t="s">
        <v>45</v>
      </c>
      <c r="B20" s="42"/>
      <c r="C20" s="42"/>
      <c r="D20" s="42"/>
      <c r="E20" s="42"/>
    </row>
    <row r="22" spans="1:10" ht="45" x14ac:dyDescent="0.25">
      <c r="A22" s="2" t="s">
        <v>46</v>
      </c>
      <c r="B22" s="2" t="s">
        <v>50</v>
      </c>
      <c r="C22" s="2" t="s">
        <v>47</v>
      </c>
      <c r="D22" s="2" t="s">
        <v>48</v>
      </c>
      <c r="E22" s="2" t="s">
        <v>49</v>
      </c>
      <c r="F22" s="2" t="s">
        <v>6</v>
      </c>
      <c r="H22" s="44" t="s">
        <v>60</v>
      </c>
      <c r="I22" s="44"/>
      <c r="J22" s="44"/>
    </row>
    <row r="23" spans="1:10" x14ac:dyDescent="0.25">
      <c r="A23" s="2" t="s">
        <v>43</v>
      </c>
      <c r="B23" s="2">
        <v>2</v>
      </c>
      <c r="C23" s="2">
        <f>F15</f>
        <v>36000</v>
      </c>
      <c r="D23" s="4">
        <f>C23*30/100</f>
        <v>10800</v>
      </c>
      <c r="E23" s="4">
        <f>SUM(C23:D23)</f>
        <v>46800</v>
      </c>
      <c r="F23" s="2">
        <f>E23*B23</f>
        <v>93600</v>
      </c>
    </row>
    <row r="24" spans="1:10" x14ac:dyDescent="0.25">
      <c r="A24" s="2" t="s">
        <v>44</v>
      </c>
      <c r="B24" s="2">
        <v>2</v>
      </c>
      <c r="C24" s="2">
        <f>F16</f>
        <v>50400</v>
      </c>
      <c r="D24" s="4">
        <f>C24*30/100</f>
        <v>15120</v>
      </c>
      <c r="E24" s="4">
        <f>C24+D24</f>
        <v>65520</v>
      </c>
      <c r="F24" s="2">
        <f>E24*B24</f>
        <v>131040</v>
      </c>
    </row>
    <row r="25" spans="1:10" x14ac:dyDescent="0.25">
      <c r="A25" s="2"/>
      <c r="B25" s="2"/>
      <c r="C25" s="2"/>
      <c r="D25" s="2"/>
      <c r="E25" s="2"/>
      <c r="F25" s="4">
        <f>F23+F24</f>
        <v>224640</v>
      </c>
    </row>
    <row r="27" spans="1:10" x14ac:dyDescent="0.25">
      <c r="A27" s="42" t="s">
        <v>52</v>
      </c>
      <c r="B27" s="42"/>
      <c r="C27" s="42"/>
      <c r="D27" s="42"/>
      <c r="E27" s="42"/>
      <c r="F27" s="42"/>
    </row>
    <row r="29" spans="1:10" ht="45" x14ac:dyDescent="0.25">
      <c r="A29" s="2" t="s">
        <v>53</v>
      </c>
      <c r="B29" s="2" t="s">
        <v>59</v>
      </c>
      <c r="C29" s="2" t="s">
        <v>54</v>
      </c>
      <c r="D29" s="2" t="s">
        <v>55</v>
      </c>
    </row>
    <row r="30" spans="1:10" x14ac:dyDescent="0.25">
      <c r="A30" s="2" t="s">
        <v>56</v>
      </c>
      <c r="B30" s="8">
        <v>22</v>
      </c>
      <c r="C30" s="7">
        <v>40768</v>
      </c>
      <c r="D30" s="9">
        <f>C30*B30/100</f>
        <v>8968.9599999999991</v>
      </c>
    </row>
    <row r="31" spans="1:10" ht="30" x14ac:dyDescent="0.25">
      <c r="A31" s="2" t="s">
        <v>57</v>
      </c>
      <c r="B31" s="8">
        <v>5.0999999999999996</v>
      </c>
      <c r="C31" s="7">
        <v>40768</v>
      </c>
      <c r="D31" s="9">
        <f>C31*B31/100</f>
        <v>2079.1679999999997</v>
      </c>
    </row>
    <row r="32" spans="1:10" ht="30" x14ac:dyDescent="0.25">
      <c r="A32" s="2" t="s">
        <v>58</v>
      </c>
      <c r="B32" s="8">
        <v>2.9</v>
      </c>
      <c r="C32" s="7">
        <v>40768</v>
      </c>
      <c r="D32" s="9">
        <f>C32*B32/100</f>
        <v>1182.2719999999999</v>
      </c>
    </row>
    <row r="33" spans="1:4" x14ac:dyDescent="0.25">
      <c r="A33" s="2"/>
      <c r="B33" s="2"/>
      <c r="C33" s="2"/>
      <c r="D33" s="9">
        <f>D30+D31+D32</f>
        <v>12230.399999999998</v>
      </c>
    </row>
  </sheetData>
  <mergeCells count="11">
    <mergeCell ref="A20:E20"/>
    <mergeCell ref="D13:D14"/>
    <mergeCell ref="A27:F27"/>
    <mergeCell ref="H22:J22"/>
    <mergeCell ref="A2:G2"/>
    <mergeCell ref="A4:G8"/>
    <mergeCell ref="A10:G10"/>
    <mergeCell ref="B13:B14"/>
    <mergeCell ref="C13:C14"/>
    <mergeCell ref="E13:E14"/>
    <mergeCell ref="F13:F14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J12" sqref="J12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материальные затр.</vt:lpstr>
      <vt:lpstr>Амортизация</vt:lpstr>
      <vt:lpstr>затраты на зп</vt:lpstr>
      <vt:lpstr>Лист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 Windows</cp:lastModifiedBy>
  <dcterms:created xsi:type="dcterms:W3CDTF">2015-06-05T18:19:34Z</dcterms:created>
  <dcterms:modified xsi:type="dcterms:W3CDTF">2021-11-08T11:32:37Z</dcterms:modified>
</cp:coreProperties>
</file>